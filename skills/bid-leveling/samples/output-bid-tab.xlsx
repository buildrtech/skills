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veled totals" sheetId="1" r:id="rId1"/>
    <sheet name="Gaps and plugs" sheetId="2" r:id="rId2"/>
    <sheet name="Adjustments" sheetId="3" r:id="rId3"/>
    <sheet name="Scope matrix" sheetId="4" r:id="rId4"/>
    <sheet name="Questions" sheetId="5" r:id="rId5"/>
    <sheet name="Evidence" sheetId="6" r:id="rId6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5">
    <xf/>
    <xf fontId="1" applyFont="1"/>
    <xf numFmtId="164" applyNumberFormat="1"/>
    <xf numFmtId="164" fontId="1" applyNumberFormat="1" applyFont="1"/>
    <xf applyAlignment="1">
      <alignment wrapText="1" vertical="top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4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6" customWidth="1"/>
    <col min="8" max="8" width="60" customWidth="1"/>
  </cols>
  <sheetData>
    <row r="1">
      <c r="A1" t="inlineStr" s="1">
        <is>
          <t xml:space="preserve">Bidder</t>
        </is>
      </c>
      <c r="B1" t="inlineStr" s="1">
        <is>
          <t xml:space="preserve">Base bid</t>
        </is>
      </c>
      <c r="C1" t="inlineStr" s="1">
        <is>
          <t xml:space="preserve">Plugs</t>
        </is>
      </c>
      <c r="D1" t="inlineStr" s="1">
        <is>
          <t xml:space="preserve">Adjustments</t>
        </is>
      </c>
      <c r="E1" t="inlineStr" s="1">
        <is>
          <t xml:space="preserve">Alternates</t>
        </is>
      </c>
      <c r="F1" t="inlineStr" s="1">
        <is>
          <t xml:space="preserve">Basis</t>
        </is>
      </c>
      <c r="G1" t="inlineStr" s="1">
        <is>
          <t xml:space="preserve">Leveled total</t>
        </is>
      </c>
      <c r="H1" t="inlineStr" s="1">
        <is>
          <t xml:space="preserve">Status</t>
        </is>
      </c>
    </row>
    <row r="2">
      <c r="A2" t="inlineStr" s="4">
        <is>
          <t xml:space="preserve">Northgate Drywall &amp; Acoustics</t>
        </is>
      </c>
      <c r="B2" s="2">
        <v>842500</v>
      </c>
      <c r="C2" s="2">
        <f>SUMIFS('Gaps and plugs'!E:E,'Gaps and plugs'!A:A,A2,'Gaps and plugs'!G:G,"Yes")</f>
        <v>51000</v>
      </c>
      <c r="D2" s="2">
        <f>SUMIFS(Adjustments!C:C,Adjustments!A:A,A2)</f>
        <v>0</v>
      </c>
      <c r="E2" s="2">
        <v>0</v>
      </c>
      <c r="F2" s="2">
        <v>0</v>
      </c>
      <c r="G2" s="3">
        <f>SUM(B2:F2)</f>
        <v>893500</v>
      </c>
      <c r="H2" t="inlineStr" s="4">
        <is>
          <t xml:space="preserve">Complete</t>
        </is>
      </c>
    </row>
    <row r="3">
      <c r="A3" t="inlineStr" s="4">
        <is>
          <t xml:space="preserve">Prairie Wall &amp; Ceiling Co.</t>
        </is>
      </c>
      <c r="B3" s="2">
        <v>871200</v>
      </c>
      <c r="C3" s="2">
        <f>SUMIFS('Gaps and plugs'!E:E,'Gaps and plugs'!A:A,A3,'Gaps and plugs'!G:G,"Yes")</f>
        <v>8500</v>
      </c>
      <c r="D3" s="2">
        <f>SUMIFS(Adjustments!C:C,Adjustments!A:A,A3)</f>
        <v>-46000</v>
      </c>
      <c r="E3" s="2">
        <v>0</v>
      </c>
      <c r="F3" s="2">
        <v>0</v>
      </c>
      <c r="G3" s="3">
        <f>SUM(B3:F3)</f>
        <v>833700</v>
      </c>
      <c r="H3" t="inlineStr" s="4">
        <is>
          <t xml:space="preserve">Complete</t>
        </is>
      </c>
    </row>
    <row r="4">
      <c r="A4" t="inlineStr" s="4">
        <is>
          <t xml:space="preserve">Summit Interior Systems, LLC</t>
        </is>
      </c>
      <c r="B4" s="2">
        <v>798000</v>
      </c>
      <c r="C4" s="2">
        <f>SUMIFS('Gaps and plugs'!E:E,'Gaps and plugs'!A:A,A4,'Gaps and plugs'!G:G,"Yes")</f>
        <v>45900</v>
      </c>
      <c r="D4" s="2">
        <f>SUMIFS(Adjustments!C:C,Adjustments!A:A,A4)</f>
        <v>0</v>
      </c>
      <c r="E4" s="2">
        <v>0</v>
      </c>
      <c r="F4" s="2">
        <v>0</v>
      </c>
      <c r="G4" s="3">
        <f>SUM(B4:F4)</f>
        <v>843900</v>
      </c>
      <c r="H4" t="inlineStr" s="4">
        <is>
          <t xml:space="preserve">Complete</t>
        </is>
      </c>
    </row>
    <row r="5">
      <c r="A5" t="inlineStr" s="4">
        <is>
          <t xml:space="preserve">Ridgeline Interiors</t>
        </is>
      </c>
      <c r="B5" s="2">
        <v>789500</v>
      </c>
      <c r="C5" s="2">
        <f>SUMIFS('Gaps and plugs'!E:E,'Gaps and plugs'!A:A,A5,'Gaps and plugs'!G:G,"Yes")</f>
        <v>0</v>
      </c>
      <c r="D5" s="2">
        <f>SUMIFS(Adjustments!C:C,Adjustments!A:A,A5)</f>
        <v>0</v>
      </c>
      <c r="E5" s="2">
        <v>0</v>
      </c>
      <c r="F5" s="2">
        <v>0</v>
      </c>
      <c r="G5" s="3">
        <f>SUM(B5:F5)</f>
        <v>789500</v>
      </c>
      <c r="H5" t="inlineStr" s="4">
        <is>
          <t xml:space="preserve">Incomplete: 8 open items</t>
        </is>
      </c>
    </row>
    <row r="6"/>
    <row r="7">
      <c r="A7" t="inlineStr" s="4">
        <is>
          <t xml:space="preserve">Plugs and adjustments recompute from their sheets: set a plug's "Counts" to Yes to carry it. Alternates and basis are values from the HTML tab as exported 2026-08-22.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40" customWidth="1"/>
    <col min="3" max="3" width="50" customWidth="1"/>
    <col min="4" max="4" width="14" customWidth="1"/>
    <col min="5" max="5" width="14" customWidth="1"/>
    <col min="6" max="6" width="70" customWidth="1"/>
    <col min="7" max="7" width="14" customWidth="1"/>
  </cols>
  <sheetData>
    <row r="1">
      <c r="A1" t="inlineStr" s="1">
        <is>
          <t xml:space="preserve">Bidder</t>
        </is>
      </c>
      <c r="B1" t="inlineStr" s="1">
        <is>
          <t xml:space="preserve">Scope</t>
        </is>
      </c>
      <c r="C1" t="inlineStr" s="1">
        <is>
          <t xml:space="preserve">Bid says</t>
        </is>
      </c>
      <c r="D1" t="inlineStr" s="1">
        <is>
          <t xml:space="preserve">Suggested</t>
        </is>
      </c>
      <c r="E1" t="inlineStr" s="1">
        <is>
          <t xml:space="preserve">Plug</t>
        </is>
      </c>
      <c r="F1" t="inlineStr" s="1">
        <is>
          <t xml:space="preserve">Source</t>
        </is>
      </c>
      <c r="G1" t="inlineStr" s="1">
        <is>
          <t xml:space="preserve">Counts (Yes/No)</t>
        </is>
      </c>
    </row>
    <row r="2">
      <c r="A2" t="inlineStr" s="4">
        <is>
          <t xml:space="preserve">Northgate Drywall &amp; Acoustics</t>
        </is>
      </c>
      <c r="B2" t="inlineStr" s="4">
        <is>
          <t xml:space="preserve">Exterior glass-mat gypsum sheathing</t>
        </is>
      </c>
      <c r="C2" t="inlineStr" s="4">
        <is>
          <t xml:space="preserve">Excluded: "Exterior sheathing by others" (NG-4)</t>
        </is>
      </c>
      <c r="E2" s="2">
        <v>41200</v>
      </c>
      <c r="F2" t="inlineStr" s="4">
        <is>
          <t xml:space="preserve">Prairie Wall &amp; Ceiling Co.'s itemized line (PW-9), the only itemized price for this scope. A leveling figure, not a price from Northgate Drywall &amp; Acoustics.</t>
        </is>
      </c>
      <c r="G2" t="inlineStr" s="4">
        <is>
          <t xml:space="preserve">Yes</t>
        </is>
      </c>
    </row>
    <row r="3">
      <c r="A3" t="inlineStr" s="4">
        <is>
          <t xml:space="preserve">Northgate Drywall &amp; Acoustics</t>
        </is>
      </c>
      <c r="B3" t="inlineStr" s="4">
        <is>
          <t xml:space="preserve">Firestopping at this trade's rated penetrations</t>
        </is>
      </c>
      <c r="C3" t="inlineStr" s="4">
        <is>
          <t xml:space="preserve">Excluded: "Firestopping NIC" (NG-4)</t>
        </is>
      </c>
      <c r="E3" s="2">
        <v>9800</v>
      </c>
      <c r="F3" t="inlineStr" s="4">
        <is>
          <t xml:space="preserve">Prairie Wall &amp; Ceiling Co.'s itemized line (PW-10), the only itemized price for this scope. A leveling figure, not a price from Northgate Drywall &amp; Acoustics.</t>
        </is>
      </c>
      <c r="G3" t="inlineStr" s="4">
        <is>
          <t xml:space="preserve">Yes</t>
        </is>
      </c>
    </row>
    <row r="4">
      <c r="A4" t="inlineStr" s="4">
        <is>
          <t xml:space="preserve">Prairie Wall &amp; Ceiling Co.</t>
        </is>
      </c>
      <c r="B4" t="inlineStr" s="4">
        <is>
          <t xml:space="preserve">In-wall blocking for casework and equipment</t>
        </is>
      </c>
      <c r="C4" t="inlineStr" s="4">
        <is>
          <t xml:space="preserve">Excluded: Bid form row 6 reads "By others" (PW-6)</t>
        </is>
      </c>
      <c r="E4" s="2">
        <v>8500</v>
      </c>
      <c r="F4" t="inlineStr" s="4">
        <is>
          <t xml:space="preserve">M. Reyes: our 8/1 estimate, line 06 10 00, self-perform carpentry takeoff for blocking</t>
        </is>
      </c>
      <c r="G4" t="inlineStr" s="4">
        <is>
          <t xml:space="preserve">Yes</t>
        </is>
      </c>
    </row>
    <row r="5">
      <c r="A5" t="inlineStr" s="4">
        <is>
          <t xml:space="preserve">Summit Interior Systems, LLC</t>
        </is>
      </c>
      <c r="B5" t="inlineStr" s="4">
        <is>
          <t xml:space="preserve">Level 5 finish at two-story lobby (Addendum 2)</t>
        </is>
      </c>
      <c r="C5" t="inlineStr" s="4">
        <is>
          <t xml:space="preserve">Excluded: "Level 4 finish throughout" (SI-3)</t>
        </is>
      </c>
      <c r="E5" s="2">
        <v>14600</v>
      </c>
      <c r="F5" t="inlineStr" s="4">
        <is>
          <t xml:space="preserve">Prairie Wall &amp; Ceiling Co.'s itemized line (PW-3), the only itemized price for this scope. A leveling figure, not a price from Summit Interior Systems, LLC.</t>
        </is>
      </c>
      <c r="G5" t="inlineStr" s="4">
        <is>
          <t xml:space="preserve">Yes</t>
        </is>
      </c>
    </row>
    <row r="6">
      <c r="A6" t="inlineStr" s="4">
        <is>
          <t xml:space="preserve">Summit Interior Systems, LLC</t>
        </is>
      </c>
      <c r="B6" t="inlineStr" s="4">
        <is>
          <t xml:space="preserve">Sound attenuation batts in partitions</t>
        </is>
      </c>
      <c r="C6" t="inlineStr" s="4">
        <is>
          <t xml:space="preserve">Excluded: "Insulation by others" (SI-3)</t>
        </is>
      </c>
      <c r="E6" s="2">
        <v>22800</v>
      </c>
      <c r="F6" t="inlineStr" s="4">
        <is>
          <t xml:space="preserve">Prairie Wall &amp; Ceiling Co.'s itemized line (PW-5), the only itemized price for this scope. A leveling figure, not a price from Summit Interior Systems, LLC.</t>
        </is>
      </c>
      <c r="G6" t="inlineStr" s="4">
        <is>
          <t xml:space="preserve">Yes</t>
        </is>
      </c>
    </row>
    <row r="7">
      <c r="A7" t="inlineStr" s="4">
        <is>
          <t xml:space="preserve">Summit Interior Systems, LLC</t>
        </is>
      </c>
      <c r="B7" t="inlineStr" s="4">
        <is>
          <t xml:space="preserve">In-wall blocking for casework and equipment</t>
        </is>
      </c>
      <c r="C7" t="inlineStr" s="4">
        <is>
          <t xml:space="preserve">Not mentioned (SI-5)</t>
        </is>
      </c>
      <c r="E7" s="2">
        <v>8500</v>
      </c>
      <c r="F7" t="inlineStr" s="4">
        <is>
          <t xml:space="preserve">M. Reyes: our 8/1 estimate, line 06 10 00, self-perform carpentry takeoff for blocking</t>
        </is>
      </c>
      <c r="G7" t="inlineStr" s="4">
        <is>
          <t xml:space="preserve">Yes</t>
        </is>
      </c>
    </row>
    <row r="8">
      <c r="A8" t="inlineStr" s="4">
        <is>
          <t xml:space="preserve">Ridgeline Interiors</t>
        </is>
      </c>
      <c r="B8" t="inlineStr" s="4">
        <is>
          <t xml:space="preserve">Level 5 finish at two-story lobby (Addendum 2)</t>
        </is>
      </c>
      <c r="C8" t="inlineStr" s="4">
        <is>
          <t xml:space="preserve">Unclear: only "per plans and specs thru Addendum 2" (RR-1)</t>
        </is>
      </c>
      <c r="F8" t="inlineStr" s="4">
        <is>
          <t xml:space="preserve">Open</t>
        </is>
      </c>
      <c r="G8" t="inlineStr" s="4">
        <is>
          <t xml:space="preserve">No</t>
        </is>
      </c>
    </row>
    <row r="9">
      <c r="A9" t="inlineStr" s="4">
        <is>
          <t xml:space="preserve">Ridgeline Interiors</t>
        </is>
      </c>
      <c r="B9" t="inlineStr" s="4">
        <is>
          <t xml:space="preserve">Shaft wall at elevator and mechanical shafts</t>
        </is>
      </c>
      <c r="C9" t="inlineStr" s="4">
        <is>
          <t xml:space="preserve">Unclear: only "per plans and specs" (RR-1)</t>
        </is>
      </c>
      <c r="F9" t="inlineStr" s="4">
        <is>
          <t xml:space="preserve">Open</t>
        </is>
      </c>
      <c r="G9" t="inlineStr" s="4">
        <is>
          <t xml:space="preserve">No</t>
        </is>
      </c>
    </row>
    <row r="10">
      <c r="A10" t="inlineStr" s="4">
        <is>
          <t xml:space="preserve">Ridgeline Interiors</t>
        </is>
      </c>
      <c r="B10" t="inlineStr" s="4">
        <is>
          <t xml:space="preserve">Sound attenuation batts in partitions</t>
        </is>
      </c>
      <c r="C10" t="inlineStr" s="4">
        <is>
          <t xml:space="preserve">Excluded: "Excludes insulation" (RR-2)</t>
        </is>
      </c>
      <c r="D10" s="2">
        <v>22800</v>
      </c>
      <c r="F10" t="inlineStr" s="4">
        <is>
          <t xml:space="preserve">Prairie Wall &amp; Ceiling Co.'s itemized line (PW-5), the only itemized price for this scope. A leveling figure, not a price from Ridgeline Interiors.</t>
        </is>
      </c>
      <c r="G10" t="inlineStr" s="4">
        <is>
          <t xml:space="preserve">No</t>
        </is>
      </c>
    </row>
    <row r="11">
      <c r="A11" t="inlineStr" s="4">
        <is>
          <t xml:space="preserve">Ridgeline Interiors</t>
        </is>
      </c>
      <c r="B11" t="inlineStr" s="4">
        <is>
          <t xml:space="preserve">In-wall blocking for casework and equipment</t>
        </is>
      </c>
      <c r="C11" t="inlineStr" s="4">
        <is>
          <t xml:space="preserve">Not mentioned (RR-3)</t>
        </is>
      </c>
      <c r="F11" t="inlineStr" s="4">
        <is>
          <t xml:space="preserve">Open</t>
        </is>
      </c>
      <c r="G11" t="inlineStr" s="4">
        <is>
          <t xml:space="preserve">No</t>
        </is>
      </c>
    </row>
    <row r="12">
      <c r="A12" t="inlineStr" s="4">
        <is>
          <t xml:space="preserve">Ridgeline Interiors</t>
        </is>
      </c>
      <c r="B12" t="inlineStr" s="4">
        <is>
          <t xml:space="preserve">Lifts and scaffolding for own work</t>
        </is>
      </c>
      <c r="C12" t="inlineStr" s="4">
        <is>
          <t xml:space="preserve">Not mentioned (RR-3)</t>
        </is>
      </c>
      <c r="D12" s="2">
        <v>22400</v>
      </c>
      <c r="F12" t="inlineStr" s="4">
        <is>
          <t xml:space="preserve">Prairie Wall &amp; Ceiling Co.'s itemized line (PW-7), the only itemized price for this scope. A leveling figure, not a price from Ridgeline Interiors.</t>
        </is>
      </c>
      <c r="G12" t="inlineStr" s="4">
        <is>
          <t xml:space="preserve">No</t>
        </is>
      </c>
    </row>
    <row r="13">
      <c r="A13" t="inlineStr" s="4">
        <is>
          <t xml:space="preserve">Ridgeline Interiors</t>
        </is>
      </c>
      <c r="B13" t="inlineStr" s="4">
        <is>
          <t xml:space="preserve">Daily cleanup to GC dumpster</t>
        </is>
      </c>
      <c r="C13" t="inlineStr" s="4">
        <is>
          <t xml:space="preserve">Not mentioned (RR-3)</t>
        </is>
      </c>
      <c r="D13" s="2">
        <v>6700</v>
      </c>
      <c r="F13" t="inlineStr" s="4">
        <is>
          <t xml:space="preserve">Prairie Wall &amp; Ceiling Co.'s itemized line (PW-8), the only itemized price for this scope. A leveling figure, not a price from Ridgeline Interiors.</t>
        </is>
      </c>
      <c r="G13" t="inlineStr" s="4">
        <is>
          <t xml:space="preserve">No</t>
        </is>
      </c>
    </row>
    <row r="14">
      <c r="A14" t="inlineStr" s="4">
        <is>
          <t xml:space="preserve">Ridgeline Interiors</t>
        </is>
      </c>
      <c r="B14" t="inlineStr" s="4">
        <is>
          <t xml:space="preserve">Exterior glass-mat gypsum sheathing</t>
        </is>
      </c>
      <c r="C14" t="inlineStr" s="4">
        <is>
          <t xml:space="preserve">Unclear: only "per plans and specs" (RR-1)</t>
        </is>
      </c>
      <c r="F14" t="inlineStr" s="4">
        <is>
          <t xml:space="preserve">Open</t>
        </is>
      </c>
      <c r="G14" t="inlineStr" s="4">
        <is>
          <t xml:space="preserve">No</t>
        </is>
      </c>
    </row>
    <row r="15">
      <c r="A15" t="inlineStr" s="4">
        <is>
          <t xml:space="preserve">Ridgeline Interiors</t>
        </is>
      </c>
      <c r="B15" t="inlineStr" s="4">
        <is>
          <t xml:space="preserve">Firestopping at this trade's rated penetrations</t>
        </is>
      </c>
      <c r="C15" t="inlineStr" s="4">
        <is>
          <t xml:space="preserve">Excluded: "Excludes ... firestopping" (RR-2)</t>
        </is>
      </c>
      <c r="D15" s="2">
        <v>9800</v>
      </c>
      <c r="F15" t="inlineStr" s="4">
        <is>
          <t xml:space="preserve">Prairie Wall &amp; Ceiling Co.'s itemized line (PW-10), the only itemized price for this scope. A leveling figure, not a price from Ridgeline Interiors.</t>
        </is>
      </c>
      <c r="G15" t="inlineStr" s="4">
        <is>
          <t xml:space="preserve">No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50" customWidth="1"/>
    <col min="3" max="3" width="14" customWidth="1"/>
    <col min="4" max="4" width="60" customWidth="1"/>
  </cols>
  <sheetData>
    <row r="1">
      <c r="A1" t="inlineStr" s="1">
        <is>
          <t xml:space="preserve">Bidder</t>
        </is>
      </c>
      <c r="B1" t="inlineStr" s="1">
        <is>
          <t xml:space="preserve">Adjustment</t>
        </is>
      </c>
      <c r="C1" t="inlineStr" s="1">
        <is>
          <t xml:space="preserve">Amount</t>
        </is>
      </c>
      <c r="D1" t="inlineStr" s="1">
        <is>
          <t xml:space="preserve">Source</t>
        </is>
      </c>
    </row>
    <row r="2">
      <c r="A2" t="inlineStr" s="4">
        <is>
          <t xml:space="preserve">Prairie Wall &amp; Ceiling Co.</t>
        </is>
      </c>
      <c r="B2" t="inlineStr" s="4">
        <is>
          <t xml:space="preserve">Remove acoustical ceilings (09 51 13, package 09B); it belongs to another package</t>
        </is>
      </c>
      <c r="C2" s="2">
        <v>-46000</v>
      </c>
      <c r="D2" t="inlineStr" s="4">
        <is>
          <t xml:space="preserve">Prairie Wall &amp; Ceiling Co.'s itemized line (PW-11)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48" customWidth="1"/>
    <col min="2" max="2" width="10" customWidth="1"/>
    <col min="3" max="3" width="36" customWidth="1"/>
    <col min="4" max="4" width="36" customWidth="1"/>
    <col min="5" max="5" width="36" customWidth="1"/>
    <col min="6" max="6" width="36" customWidth="1"/>
  </cols>
  <sheetData>
    <row r="1">
      <c r="A1" t="inlineStr" s="1">
        <is>
          <t xml:space="preserve">Scope</t>
        </is>
      </c>
      <c r="B1" t="inlineStr" s="1">
        <is>
          <t xml:space="preserve">Class</t>
        </is>
      </c>
      <c r="C1" t="inlineStr" s="1">
        <is>
          <t xml:space="preserve">Northgate Drywall &amp; Acoustics</t>
        </is>
      </c>
      <c r="D1" t="inlineStr" s="1">
        <is>
          <t xml:space="preserve">Prairie Wall &amp; Ceiling Co.</t>
        </is>
      </c>
      <c r="E1" t="inlineStr" s="1">
        <is>
          <t xml:space="preserve">Summit Interior Systems, LLC</t>
        </is>
      </c>
      <c r="F1" t="inlineStr" s="1">
        <is>
          <t xml:space="preserve">Ridgeline Interiors</t>
        </is>
      </c>
    </row>
    <row r="2">
      <c r="A2" t="inlineStr" s="4">
        <is>
          <t xml:space="preserve">Non-structural metal stud framing</t>
        </is>
      </c>
      <c r="B2" t="inlineStr" s="4">
        <is>
          <t xml:space="preserve">base</t>
        </is>
      </c>
      <c r="C2" t="inlineStr" s="4">
        <is>
          <t xml:space="preserve">Included (NG-1)</t>
        </is>
      </c>
      <c r="D2" t="inlineStr" s="4">
        <is>
          <t xml:space="preserve">Included $312,000 (PW-1)</t>
        </is>
      </c>
      <c r="E2" t="inlineStr" s="4">
        <is>
          <t xml:space="preserve">Included (SI-1)</t>
        </is>
      </c>
      <c r="F2" t="inlineStr" s="4">
        <is>
          <t xml:space="preserve">Included (RR-1)</t>
        </is>
      </c>
    </row>
    <row r="3">
      <c r="A3" t="inlineStr" s="4">
        <is>
          <t xml:space="preserve">Gypsum board, tape and finish to Level 4</t>
        </is>
      </c>
      <c r="B3" t="inlineStr" s="4">
        <is>
          <t xml:space="preserve">base</t>
        </is>
      </c>
      <c r="C3" t="inlineStr" s="4">
        <is>
          <t xml:space="preserve">Included (NG-1)</t>
        </is>
      </c>
      <c r="D3" t="inlineStr" s="4">
        <is>
          <t xml:space="preserve">Included $326,200 (PW-2)</t>
        </is>
      </c>
      <c r="E3" t="inlineStr" s="4">
        <is>
          <t xml:space="preserve">Included (SI-1)</t>
        </is>
      </c>
      <c r="F3" t="inlineStr" s="4">
        <is>
          <t xml:space="preserve">Included (RR-1)</t>
        </is>
      </c>
    </row>
    <row r="4">
      <c r="A4" t="inlineStr" s="4">
        <is>
          <t xml:space="preserve">Level 5 finish at two-story lobby (Addendum 2)</t>
        </is>
      </c>
      <c r="B4" t="inlineStr" s="4">
        <is>
          <t xml:space="preserve">base</t>
        </is>
      </c>
      <c r="C4" t="inlineStr" s="4">
        <is>
          <t xml:space="preserve">Included (NG-1)</t>
        </is>
      </c>
      <c r="D4" t="inlineStr" s="4">
        <is>
          <t xml:space="preserve">Included $14,600 (PW-3)</t>
        </is>
      </c>
      <c r="E4" t="inlineStr" s="4">
        <is>
          <t xml:space="preserve">Excluded: "Level 4 finish throughout" (SI-3)</t>
        </is>
      </c>
      <c r="F4" t="inlineStr" s="4">
        <is>
          <t xml:space="preserve">Unclear: only "per plans and specs thru Addendum 2" (RR-1)</t>
        </is>
      </c>
    </row>
    <row r="5">
      <c r="A5" t="inlineStr" s="4">
        <is>
          <t xml:space="preserve">Shaft wall at elevator and mechanical shafts</t>
        </is>
      </c>
      <c r="B5" t="inlineStr" s="4">
        <is>
          <t xml:space="preserve">base</t>
        </is>
      </c>
      <c r="C5" t="inlineStr" s="4">
        <is>
          <t xml:space="preserve">Included (NG-1)</t>
        </is>
      </c>
      <c r="D5" t="inlineStr" s="4">
        <is>
          <t xml:space="preserve">Included $58,300 (PW-4)</t>
        </is>
      </c>
      <c r="E5" t="inlineStr" s="4">
        <is>
          <t xml:space="preserve">Included (SI-1)</t>
        </is>
      </c>
      <c r="F5" t="inlineStr" s="4">
        <is>
          <t xml:space="preserve">Unclear: only "per plans and specs" (RR-1)</t>
        </is>
      </c>
    </row>
    <row r="6">
      <c r="A6" t="inlineStr" s="4">
        <is>
          <t xml:space="preserve">Sound attenuation batts in partitions</t>
        </is>
      </c>
      <c r="B6" t="inlineStr" s="4">
        <is>
          <t xml:space="preserve">base</t>
        </is>
      </c>
      <c r="C6" t="inlineStr" s="4">
        <is>
          <t xml:space="preserve">Included (NG-2)</t>
        </is>
      </c>
      <c r="D6" t="inlineStr" s="4">
        <is>
          <t xml:space="preserve">Included $22,800 (PW-5)</t>
        </is>
      </c>
      <c r="E6" t="inlineStr" s="4">
        <is>
          <t xml:space="preserve">Excluded: "Insulation by others" (SI-3)</t>
        </is>
      </c>
      <c r="F6" t="inlineStr" s="4">
        <is>
          <t xml:space="preserve">Excluded: "Excludes insulation" (RR-2)</t>
        </is>
      </c>
    </row>
    <row r="7">
      <c r="A7" t="inlineStr" s="4">
        <is>
          <t xml:space="preserve">In-wall blocking for casework and equipment</t>
        </is>
      </c>
      <c r="B7" t="inlineStr" s="4">
        <is>
          <t xml:space="preserve">base</t>
        </is>
      </c>
      <c r="C7" t="inlineStr" s="4">
        <is>
          <t xml:space="preserve">Included (NG-2)</t>
        </is>
      </c>
      <c r="D7" t="inlineStr" s="4">
        <is>
          <t xml:space="preserve">Excluded: Bid form row 6 reads "By others" (PW-6)</t>
        </is>
      </c>
      <c r="E7" t="inlineStr" s="4">
        <is>
          <t xml:space="preserve">Not mentioned (SI-5)</t>
        </is>
      </c>
      <c r="F7" t="inlineStr" s="4">
        <is>
          <t xml:space="preserve">Not mentioned (RR-3)</t>
        </is>
      </c>
    </row>
    <row r="8">
      <c r="A8" t="inlineStr" s="4">
        <is>
          <t xml:space="preserve">Lifts and scaffolding for own work</t>
        </is>
      </c>
      <c r="B8" t="inlineStr" s="4">
        <is>
          <t xml:space="preserve">base</t>
        </is>
      </c>
      <c r="C8" t="inlineStr" s="4">
        <is>
          <t xml:space="preserve">Included (NG-3)</t>
        </is>
      </c>
      <c r="D8" t="inlineStr" s="4">
        <is>
          <t xml:space="preserve">Included $22,400 (PW-7)</t>
        </is>
      </c>
      <c r="E8" t="inlineStr" s="4">
        <is>
          <t xml:space="preserve">Included (SI-2)</t>
        </is>
      </c>
      <c r="F8" t="inlineStr" s="4">
        <is>
          <t xml:space="preserve">Not mentioned (RR-3)</t>
        </is>
      </c>
    </row>
    <row r="9">
      <c r="A9" t="inlineStr" s="4">
        <is>
          <t xml:space="preserve">Daily cleanup to GC dumpster</t>
        </is>
      </c>
      <c r="B9" t="inlineStr" s="4">
        <is>
          <t xml:space="preserve">base</t>
        </is>
      </c>
      <c r="C9" t="inlineStr" s="4">
        <is>
          <t xml:space="preserve">Included (NG-3)</t>
        </is>
      </c>
      <c r="D9" t="inlineStr" s="4">
        <is>
          <t xml:space="preserve">Included $6,700 (PW-8)</t>
        </is>
      </c>
      <c r="E9" t="inlineStr" s="4">
        <is>
          <t xml:space="preserve">Included (SI-2)</t>
        </is>
      </c>
      <c r="F9" t="inlineStr" s="4">
        <is>
          <t xml:space="preserve">Not mentioned (RR-3)</t>
        </is>
      </c>
    </row>
    <row r="10">
      <c r="A10" t="inlineStr" s="4">
        <is>
          <t xml:space="preserve">Exterior glass-mat gypsum sheathing</t>
        </is>
      </c>
      <c r="B10" t="inlineStr" s="4">
        <is>
          <t xml:space="preserve">base</t>
        </is>
      </c>
      <c r="C10" t="inlineStr" s="4">
        <is>
          <t xml:space="preserve">Excluded: "Exterior sheathing by others" (NG-4)</t>
        </is>
      </c>
      <c r="D10" t="inlineStr" s="4">
        <is>
          <t xml:space="preserve">Included $41,200 (PW-9)</t>
        </is>
      </c>
      <c r="E10" t="inlineStr" s="4">
        <is>
          <t xml:space="preserve">Included (SI-1)</t>
        </is>
      </c>
      <c r="F10" t="inlineStr" s="4">
        <is>
          <t xml:space="preserve">Unclear: only "per plans and specs" (RR-1)</t>
        </is>
      </c>
    </row>
    <row r="11">
      <c r="A11" t="inlineStr" s="4">
        <is>
          <t xml:space="preserve">Firestopping at this trade's rated penetrations</t>
        </is>
      </c>
      <c r="B11" t="inlineStr" s="4">
        <is>
          <t xml:space="preserve">base</t>
        </is>
      </c>
      <c r="C11" t="inlineStr" s="4">
        <is>
          <t xml:space="preserve">Excluded: "Firestopping NIC" (NG-4)</t>
        </is>
      </c>
      <c r="D11" t="inlineStr" s="4">
        <is>
          <t xml:space="preserve">Included $9,800 (PW-10)</t>
        </is>
      </c>
      <c r="E11" t="inlineStr" s="4">
        <is>
          <t xml:space="preserve">Included (SI-2)</t>
        </is>
      </c>
      <c r="F11" t="inlineStr" s="4">
        <is>
          <t xml:space="preserve">Excluded: "Excludes ... firestopping" (RR-2)</t>
        </is>
      </c>
    </row>
    <row r="12">
      <c r="A12" t="inlineStr" s="4">
        <is>
          <t xml:space="preserve">Acoustical ceilings (09 51 13, package 09B)</t>
        </is>
      </c>
      <c r="B12" t="inlineStr" s="4">
        <is>
          <t xml:space="preserve">outside</t>
        </is>
      </c>
      <c r="C12" t="inlineStr" s="4">
        <is>
          <t xml:space="preserve">Excluded: "Acoustical ceilings NIC" (NG-4)</t>
        </is>
      </c>
      <c r="D12" t="inlineStr" s="4">
        <is>
          <t xml:space="preserve">Included $46,000 (PW-11)</t>
        </is>
      </c>
      <c r="E12" t="inlineStr" s="4">
        <is>
          <t xml:space="preserve">Not mentioned (SI-5)</t>
        </is>
      </c>
      <c r="F12" t="inlineStr" s="4">
        <is>
          <t xml:space="preserve">Not mentioned (RR-3)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90" customWidth="1"/>
    <col min="3" max="3" width="10" customWidth="1"/>
  </cols>
  <sheetData>
    <row r="1">
      <c r="A1" t="inlineStr" s="1">
        <is>
          <t xml:space="preserve">Bidder</t>
        </is>
      </c>
      <c r="B1" t="inlineStr" s="1">
        <is>
          <t xml:space="preserve">Question</t>
        </is>
      </c>
      <c r="C1" t="inlineStr" s="1">
        <is>
          <t xml:space="preserve">Evidence</t>
        </is>
      </c>
    </row>
    <row r="2">
      <c r="A2" t="inlineStr" s="4">
        <is>
          <t xml:space="preserve">Northgate Drywall &amp; Acoustics</t>
        </is>
      </c>
      <c r="B2" t="inlineStr" s="4">
        <is>
          <t xml:space="preserve">Your bid excludes exterior glass-mat gypsum sheathing ("Exterior sheathing by others"). What would you add to include it?</t>
        </is>
      </c>
      <c r="C2" t="inlineStr" s="4">
        <is>
          <t xml:space="preserve">NG-4</t>
        </is>
      </c>
    </row>
    <row r="3">
      <c r="A3" t="inlineStr" s="4">
        <is>
          <t xml:space="preserve">Northgate Drywall &amp; Acoustics</t>
        </is>
      </c>
      <c r="B3" t="inlineStr" s="4">
        <is>
          <t xml:space="preserve">Your bid excludes firestopping at this trade's rated penetrations ("Firestopping NIC"). What would you add to include it?</t>
        </is>
      </c>
      <c r="C3" t="inlineStr" s="4">
        <is>
          <t xml:space="preserve">NG-4</t>
        </is>
      </c>
    </row>
    <row r="4">
      <c r="A4" t="inlineStr" s="4">
        <is>
          <t xml:space="preserve">Prairie Wall &amp; Ceiling Co.</t>
        </is>
      </c>
      <c r="B4" t="inlineStr" s="4">
        <is>
          <t xml:space="preserve">Your bid excludes in-wall blocking for casework and equipment (Bid form row 6 reads "By others"). What would you add to include it?</t>
        </is>
      </c>
      <c r="C4" t="inlineStr" s="4">
        <is>
          <t xml:space="preserve">PW-6</t>
        </is>
      </c>
    </row>
    <row r="5">
      <c r="A5" t="inlineStr" s="4">
        <is>
          <t xml:space="preserve">Prairie Wall &amp; Ceiling Co.</t>
        </is>
      </c>
      <c r="B5" t="inlineStr" s="4">
        <is>
          <t xml:space="preserve">Your itemized lines add up to $872,700, but your total is $871,200. Which number governs?</t>
        </is>
      </c>
      <c r="C5" t="inlineStr" s="4">
        <is>
          <t xml:space="preserve">PW-13</t>
        </is>
      </c>
    </row>
    <row r="6">
      <c r="A6" t="inlineStr" s="4">
        <is>
          <t xml:space="preserve">Summit Interior Systems, LLC</t>
        </is>
      </c>
      <c r="B6" t="inlineStr" s="4">
        <is>
          <t xml:space="preserve">Your bid excludes Level 5 finish at two-story lobby (Addendum 2) ("Level 4 finish throughout"). What would you add to include it?</t>
        </is>
      </c>
      <c r="C6" t="inlineStr" s="4">
        <is>
          <t xml:space="preserve">SI-3</t>
        </is>
      </c>
    </row>
    <row r="7">
      <c r="A7" t="inlineStr" s="4">
        <is>
          <t xml:space="preserve">Summit Interior Systems, LLC</t>
        </is>
      </c>
      <c r="B7" t="inlineStr" s="4">
        <is>
          <t xml:space="preserve">Your bid excludes sound attenuation batts in partitions ("Insulation by others"). What would you add to include it?</t>
        </is>
      </c>
      <c r="C7" t="inlineStr" s="4">
        <is>
          <t xml:space="preserve">SI-3</t>
        </is>
      </c>
    </row>
    <row r="8">
      <c r="A8" t="inlineStr" s="4">
        <is>
          <t xml:space="preserve">Summit Interior Systems, LLC</t>
        </is>
      </c>
      <c r="B8" t="inlineStr" s="4">
        <is>
          <t xml:space="preserve">Your bid doesn't mention in-wall blocking for casework and equipment. Is it included? If not, what would you add?</t>
        </is>
      </c>
      <c r="C8" t="inlineStr" s="4">
        <is>
          <t xml:space="preserve">SI-5</t>
        </is>
      </c>
    </row>
    <row r="9">
      <c r="A9" t="inlineStr" s="4">
        <is>
          <t xml:space="preserve">Summit Interior Systems, LLC</t>
        </is>
      </c>
      <c r="B9" t="inlineStr" s="4">
        <is>
          <t xml:space="preserve">Your bid doesn't acknowledge Addendum 2, which adds Level 5 finish at the two-story lobby and requests Alternate 1. Does your price include it?</t>
        </is>
      </c>
    </row>
    <row r="10">
      <c r="A10" t="inlineStr" s="4">
        <is>
          <t xml:space="preserve">Summit Interior Systems, LLC</t>
        </is>
      </c>
      <c r="B10" t="inlineStr" s="4">
        <is>
          <t xml:space="preserve">Please price Alternate 1: Level 5 finish at all corridors.</t>
        </is>
      </c>
    </row>
    <row r="11">
      <c r="A11" t="inlineStr" s="4">
        <is>
          <t xml:space="preserve">Summit Interior Systems, LLC</t>
        </is>
      </c>
      <c r="B11" t="inlineStr" s="4">
        <is>
          <t xml:space="preserve">Does your price include performance and payment bond? If not, what would you add?</t>
        </is>
      </c>
    </row>
    <row r="12">
      <c r="A12" t="inlineStr" s="4">
        <is>
          <t xml:space="preserve">Summit Interior Systems, LLC</t>
        </is>
      </c>
      <c r="B12" t="inlineStr" s="4">
        <is>
          <t xml:space="preserve">Your bid excludes sales tax on materials. What would you add for it?</t>
        </is>
      </c>
      <c r="C12" t="inlineStr" s="4">
        <is>
          <t xml:space="preserve">SI-6</t>
        </is>
      </c>
    </row>
    <row r="13">
      <c r="A13" t="inlineStr" s="4">
        <is>
          <t xml:space="preserve">Ridgeline Interiors</t>
        </is>
      </c>
      <c r="B13" t="inlineStr" s="4">
        <is>
          <t xml:space="preserve">Please confirm whether Level 5 finish at two-story lobby (Addendum 2) is in your price. Your bid says: only "per plans and specs thru Addendum 2".</t>
        </is>
      </c>
      <c r="C13" t="inlineStr" s="4">
        <is>
          <t xml:space="preserve">RR-1</t>
        </is>
      </c>
    </row>
    <row r="14">
      <c r="A14" t="inlineStr" s="4">
        <is>
          <t xml:space="preserve">Ridgeline Interiors</t>
        </is>
      </c>
      <c r="B14" t="inlineStr" s="4">
        <is>
          <t xml:space="preserve">Please confirm whether shaft wall at elevator and mechanical shafts is in your price. Your bid says: only "per plans and specs".</t>
        </is>
      </c>
      <c r="C14" t="inlineStr" s="4">
        <is>
          <t xml:space="preserve">RR-1</t>
        </is>
      </c>
    </row>
    <row r="15">
      <c r="A15" t="inlineStr" s="4">
        <is>
          <t xml:space="preserve">Ridgeline Interiors</t>
        </is>
      </c>
      <c r="B15" t="inlineStr" s="4">
        <is>
          <t xml:space="preserve">Your bid excludes sound attenuation batts in partitions ("Excludes insulation"). What would you add to include it?</t>
        </is>
      </c>
      <c r="C15" t="inlineStr" s="4">
        <is>
          <t xml:space="preserve">RR-2</t>
        </is>
      </c>
    </row>
    <row r="16">
      <c r="A16" t="inlineStr" s="4">
        <is>
          <t xml:space="preserve">Ridgeline Interiors</t>
        </is>
      </c>
      <c r="B16" t="inlineStr" s="4">
        <is>
          <t xml:space="preserve">Your bid doesn't mention in-wall blocking for casework and equipment. Is it included? If not, what would you add?</t>
        </is>
      </c>
      <c r="C16" t="inlineStr" s="4">
        <is>
          <t xml:space="preserve">RR-3</t>
        </is>
      </c>
    </row>
    <row r="17">
      <c r="A17" t="inlineStr" s="4">
        <is>
          <t xml:space="preserve">Ridgeline Interiors</t>
        </is>
      </c>
      <c r="B17" t="inlineStr" s="4">
        <is>
          <t xml:space="preserve">Your bid doesn't mention lifts and scaffolding for own work. Is it included? If not, what would you add?</t>
        </is>
      </c>
      <c r="C17" t="inlineStr" s="4">
        <is>
          <t xml:space="preserve">RR-3</t>
        </is>
      </c>
    </row>
    <row r="18">
      <c r="A18" t="inlineStr" s="4">
        <is>
          <t xml:space="preserve">Ridgeline Interiors</t>
        </is>
      </c>
      <c r="B18" t="inlineStr" s="4">
        <is>
          <t xml:space="preserve">Your bid doesn't mention daily cleanup to GC dumpster. Is it included? If not, what would you add?</t>
        </is>
      </c>
      <c r="C18" t="inlineStr" s="4">
        <is>
          <t xml:space="preserve">RR-3</t>
        </is>
      </c>
    </row>
    <row r="19">
      <c r="A19" t="inlineStr" s="4">
        <is>
          <t xml:space="preserve">Ridgeline Interiors</t>
        </is>
      </c>
      <c r="B19" t="inlineStr" s="4">
        <is>
          <t xml:space="preserve">Please confirm whether exterior glass-mat gypsum sheathing is in your price. Your bid says: only "per plans and specs".</t>
        </is>
      </c>
      <c r="C19" t="inlineStr" s="4">
        <is>
          <t xml:space="preserve">RR-1</t>
        </is>
      </c>
    </row>
    <row r="20">
      <c r="A20" t="inlineStr" s="4">
        <is>
          <t xml:space="preserve">Ridgeline Interiors</t>
        </is>
      </c>
      <c r="B20" t="inlineStr" s="4">
        <is>
          <t xml:space="preserve">Your bid excludes firestopping at this trade's rated penetrations ("Excludes ... firestopping"). What would you add to include it?</t>
        </is>
      </c>
      <c r="C20" t="inlineStr" s="4">
        <is>
          <t xml:space="preserve">RR-2</t>
        </is>
      </c>
    </row>
    <row r="21">
      <c r="A21" t="inlineStr" s="4">
        <is>
          <t xml:space="preserve">Ridgeline Interiors</t>
        </is>
      </c>
      <c r="B21" t="inlineStr" s="4">
        <is>
          <t xml:space="preserve">Please price Alternate 1: Level 5 finish at all corridors.</t>
        </is>
      </c>
    </row>
    <row r="22">
      <c r="A22" t="inlineStr" s="4">
        <is>
          <t xml:space="preserve">Ridgeline Interiors</t>
        </is>
      </c>
      <c r="B22" t="inlineStr" s="4">
        <is>
          <t xml:space="preserve">Your bid excludes performance and payment bond. What would you add for it?</t>
        </is>
      </c>
      <c r="C22" t="inlineStr" s="4">
        <is>
          <t xml:space="preserve">RR-2</t>
        </is>
      </c>
    </row>
    <row r="23">
      <c r="A23" t="inlineStr" s="4">
        <is>
          <t xml:space="preserve">Ridgeline Interiors</t>
        </is>
      </c>
      <c r="B23" t="inlineStr" s="4">
        <is>
          <t xml:space="preserve">Does your price include sales tax on materials? If not, what would you add?</t>
        </is>
      </c>
    </row>
    <row r="24">
      <c r="A24" t="inlineStr" s="4">
        <is>
          <t xml:space="preserve">Ridgeline Interiors</t>
        </is>
      </c>
      <c r="B24" t="inlineStr" s="4">
        <is>
          <t xml:space="preserve">Your revision arrived August 22 at 9:10 a.m., after bids closed. Please confirm it replaces your August 21 number of $781,000.</t>
        </is>
      </c>
      <c r="C24" t="inlineStr" s="4">
        <is>
          <t xml:space="preserve">RR-1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8" customWidth="1"/>
    <col min="3" max="3" width="28" customWidth="1"/>
    <col min="4" max="4" width="28" customWidth="1"/>
    <col min="5" max="5" width="90" customWidth="1"/>
  </cols>
  <sheetData>
    <row r="1">
      <c r="A1" t="inlineStr" s="1">
        <is>
          <t xml:space="preserve">Bidder</t>
        </is>
      </c>
      <c r="B1" t="inlineStr" s="1">
        <is>
          <t xml:space="preserve">Ref</t>
        </is>
      </c>
      <c r="C1" t="inlineStr" s="1">
        <is>
          <t xml:space="preserve">File</t>
        </is>
      </c>
      <c r="D1" t="inlineStr" s="1">
        <is>
          <t xml:space="preserve">Location</t>
        </is>
      </c>
      <c r="E1" t="inlineStr" s="1">
        <is>
          <t xml:space="preserve">Quote</t>
        </is>
      </c>
    </row>
    <row r="2">
      <c r="A2" t="inlineStr" s="4">
        <is>
          <t xml:space="preserve">Northgate Drywall &amp; Acoustics</t>
        </is>
      </c>
      <c r="B2" t="inlineStr" s="4">
        <is>
          <t xml:space="preserve">NG-1</t>
        </is>
      </c>
      <c r="C2" t="inlineStr" s="4">
        <is>
          <t xml:space="preserve">northgate-proposal.pdf</t>
        </is>
      </c>
      <c r="D2" t="inlineStr" s="4">
        <is>
          <t xml:space="preserve">page 1, Scope of Work</t>
        </is>
      </c>
      <c r="E2" t="inlineStr" s="4">
        <is>
          <t xml:space="preserve">Furnish and install non-structural metal framing, gypsum board, and shaft wall at elevator and mechanical shafts, taped and finished to Level 4 per Section 09 21 16. Level 5 finish at the two-story lobby per Addendum 2.</t>
        </is>
      </c>
    </row>
    <row r="3">
      <c r="A3" t="inlineStr" s="4">
        <is>
          <t xml:space="preserve">Northgate Drywall &amp; Acoustics</t>
        </is>
      </c>
      <c r="B3" t="inlineStr" s="4">
        <is>
          <t xml:space="preserve">NG-2</t>
        </is>
      </c>
      <c r="C3" t="inlineStr" s="4">
        <is>
          <t xml:space="preserve">northgate-proposal.pdf</t>
        </is>
      </c>
      <c r="D3" t="inlineStr" s="4">
        <is>
          <t xml:space="preserve">page 1, Scope of Work</t>
        </is>
      </c>
      <c r="E3" t="inlineStr" s="4">
        <is>
          <t xml:space="preserve">Sound attenuation batts at all partitions noted on A-601. In-wall blocking for casework and wall-mounted equipment per A-501 details. Acknowledges Addenda 1 and 2.</t>
        </is>
      </c>
    </row>
    <row r="4">
      <c r="A4" t="inlineStr" s="4">
        <is>
          <t xml:space="preserve">Northgate Drywall &amp; Acoustics</t>
        </is>
      </c>
      <c r="B4" t="inlineStr" s="4">
        <is>
          <t xml:space="preserve">NG-3</t>
        </is>
      </c>
      <c r="C4" t="inlineStr" s="4">
        <is>
          <t xml:space="preserve">northgate-proposal.pdf</t>
        </is>
      </c>
      <c r="D4" t="inlineStr" s="4">
        <is>
          <t xml:space="preserve">page 2, General Conditions</t>
        </is>
      </c>
      <c r="E4" t="inlineStr" s="4">
        <is>
          <t xml:space="preserve">Lifts and scaffolding for our work included. Daily cleanup of our debris to the GC-provided dumpster included. Pricing assumes one mobilization per floor and clear access to each floor.</t>
        </is>
      </c>
    </row>
    <row r="5">
      <c r="A5" t="inlineStr" s="4">
        <is>
          <t xml:space="preserve">Northgate Drywall &amp; Acoustics</t>
        </is>
      </c>
      <c r="B5" t="inlineStr" s="4">
        <is>
          <t xml:space="preserve">NG-4</t>
        </is>
      </c>
      <c r="C5" t="inlineStr" s="4">
        <is>
          <t xml:space="preserve">northgate-proposal.pdf</t>
        </is>
      </c>
      <c r="D5" t="inlineStr" s="4">
        <is>
          <t xml:space="preserve">page 2, Exclusions</t>
        </is>
      </c>
      <c r="E5" t="inlineStr" s="4">
        <is>
          <t xml:space="preserve">Exterior sheathing by others. Firestopping NIC. Acoustical ceilings NIC.</t>
        </is>
      </c>
    </row>
    <row r="6">
      <c r="A6" t="inlineStr" s="4">
        <is>
          <t xml:space="preserve">Northgate Drywall &amp; Acoustics</t>
        </is>
      </c>
      <c r="B6" t="inlineStr" s="4">
        <is>
          <t xml:space="preserve">NG-5</t>
        </is>
      </c>
      <c r="C6" t="inlineStr" s="4">
        <is>
          <t xml:space="preserve">northgate-proposal.pdf</t>
        </is>
      </c>
      <c r="D6" t="inlineStr" s="4">
        <is>
          <t xml:space="preserve">page 2, Alternates and Unit Prices</t>
        </is>
      </c>
      <c r="E6" t="inlineStr" s="4">
        <is>
          <t xml:space="preserve">Alternate No. 1, Level 5 finish at all corridors: ADD $18,400.00. Additional soffit or bulkhead, framed and finished: $42.00 per LF.</t>
        </is>
      </c>
    </row>
    <row r="7">
      <c r="A7" t="inlineStr" s="4">
        <is>
          <t xml:space="preserve">Northgate Drywall &amp; Acoustics</t>
        </is>
      </c>
      <c r="B7" t="inlineStr" s="4">
        <is>
          <t xml:space="preserve">NG-6</t>
        </is>
      </c>
      <c r="C7" t="inlineStr" s="4">
        <is>
          <t xml:space="preserve">northgate-proposal.pdf</t>
        </is>
      </c>
      <c r="D7" t="inlineStr" s="4">
        <is>
          <t xml:space="preserve">page 2, Terms</t>
        </is>
      </c>
      <c r="E7" t="inlineStr" s="4">
        <is>
          <t xml:space="preserve">Base bid: $842,500.00. Sales tax included. Performance and payment bond, if required, add 1.5%. Proposal valid 30 days.</t>
        </is>
      </c>
    </row>
    <row r="8">
      <c r="A8" t="inlineStr" s="4">
        <is>
          <t xml:space="preserve">Prairie Wall &amp; Ceiling Co.</t>
        </is>
      </c>
      <c r="B8" t="inlineStr" s="4">
        <is>
          <t xml:space="preserve">PW-0</t>
        </is>
      </c>
      <c r="C8" t="inlineStr" s="4">
        <is>
          <t xml:space="preserve">prairie-cover-email.eml</t>
        </is>
      </c>
      <c r="D8" t="inlineStr" s="4">
        <is>
          <t xml:space="preserve">email body</t>
        </is>
      </c>
      <c r="E8" t="inlineStr" s="4">
        <is>
          <t xml:space="preserve">Attached is our bid form for Cedar Hollow 09A, Addenda 1 and 2 acknowledged. Base bid $871,200 including bond and MN sales tax. Pricing is straight time, five-day weeks.</t>
        </is>
      </c>
    </row>
    <row r="9">
      <c r="A9" t="inlineStr" s="4">
        <is>
          <t xml:space="preserve">Prairie Wall &amp; Ceiling Co.</t>
        </is>
      </c>
      <c r="B9" t="inlineStr" s="4">
        <is>
          <t xml:space="preserve">PW-1</t>
        </is>
      </c>
      <c r="C9" t="inlineStr" s="4">
        <is>
          <t xml:space="preserve">prairie-bid-form.xlsx</t>
        </is>
      </c>
      <c r="D9" t="inlineStr" s="4">
        <is>
          <t xml:space="preserve">sheet Bid Form, row 1</t>
        </is>
      </c>
      <c r="E9" t="inlineStr" s="4">
        <is>
          <t xml:space="preserve">Metal stud framing | 312,000</t>
        </is>
      </c>
    </row>
    <row r="10">
      <c r="A10" t="inlineStr" s="4">
        <is>
          <t xml:space="preserve">Prairie Wall &amp; Ceiling Co.</t>
        </is>
      </c>
      <c r="B10" t="inlineStr" s="4">
        <is>
          <t xml:space="preserve">PW-2</t>
        </is>
      </c>
      <c r="C10" t="inlineStr" s="4">
        <is>
          <t xml:space="preserve">prairie-bid-form.xlsx</t>
        </is>
      </c>
      <c r="D10" t="inlineStr" s="4">
        <is>
          <t xml:space="preserve">sheet Bid Form, row 2</t>
        </is>
      </c>
      <c r="E10" t="inlineStr" s="4">
        <is>
          <t xml:space="preserve">Gypsum board, Level 4 | 326,200</t>
        </is>
      </c>
    </row>
    <row r="11">
      <c r="A11" t="inlineStr" s="4">
        <is>
          <t xml:space="preserve">Prairie Wall &amp; Ceiling Co.</t>
        </is>
      </c>
      <c r="B11" t="inlineStr" s="4">
        <is>
          <t xml:space="preserve">PW-3</t>
        </is>
      </c>
      <c r="C11" t="inlineStr" s="4">
        <is>
          <t xml:space="preserve">prairie-bid-form.xlsx</t>
        </is>
      </c>
      <c r="D11" t="inlineStr" s="4">
        <is>
          <t xml:space="preserve">sheet Bid Form, row 3</t>
        </is>
      </c>
      <c r="E11" t="inlineStr" s="4">
        <is>
          <t xml:space="preserve">Level 5 finish, lobby (Add. 2) | 14,600</t>
        </is>
      </c>
    </row>
    <row r="12">
      <c r="A12" t="inlineStr" s="4">
        <is>
          <t xml:space="preserve">Prairie Wall &amp; Ceiling Co.</t>
        </is>
      </c>
      <c r="B12" t="inlineStr" s="4">
        <is>
          <t xml:space="preserve">PW-4</t>
        </is>
      </c>
      <c r="C12" t="inlineStr" s="4">
        <is>
          <t xml:space="preserve">prairie-bid-form.xlsx</t>
        </is>
      </c>
      <c r="D12" t="inlineStr" s="4">
        <is>
          <t xml:space="preserve">sheet Bid Form, row 4</t>
        </is>
      </c>
      <c r="E12" t="inlineStr" s="4">
        <is>
          <t xml:space="preserve">Shaft wall | 58,300</t>
        </is>
      </c>
    </row>
    <row r="13">
      <c r="A13" t="inlineStr" s="4">
        <is>
          <t xml:space="preserve">Prairie Wall &amp; Ceiling Co.</t>
        </is>
      </c>
      <c r="B13" t="inlineStr" s="4">
        <is>
          <t xml:space="preserve">PW-5</t>
        </is>
      </c>
      <c r="C13" t="inlineStr" s="4">
        <is>
          <t xml:space="preserve">prairie-bid-form.xlsx</t>
        </is>
      </c>
      <c r="D13" t="inlineStr" s="4">
        <is>
          <t xml:space="preserve">sheet Bid Form, row 5</t>
        </is>
      </c>
      <c r="E13" t="inlineStr" s="4">
        <is>
          <t xml:space="preserve">Sound batts | 22,800</t>
        </is>
      </c>
    </row>
    <row r="14">
      <c r="A14" t="inlineStr" s="4">
        <is>
          <t xml:space="preserve">Prairie Wall &amp; Ceiling Co.</t>
        </is>
      </c>
      <c r="B14" t="inlineStr" s="4">
        <is>
          <t xml:space="preserve">PW-6</t>
        </is>
      </c>
      <c r="C14" t="inlineStr" s="4">
        <is>
          <t xml:space="preserve">prairie-bid-form.xlsx</t>
        </is>
      </c>
      <c r="D14" t="inlineStr" s="4">
        <is>
          <t xml:space="preserve">sheet Bid Form, row 6</t>
        </is>
      </c>
      <c r="E14" t="inlineStr" s="4">
        <is>
          <t xml:space="preserve">In-wall blocking | By others</t>
        </is>
      </c>
    </row>
    <row r="15">
      <c r="A15" t="inlineStr" s="4">
        <is>
          <t xml:space="preserve">Prairie Wall &amp; Ceiling Co.</t>
        </is>
      </c>
      <c r="B15" t="inlineStr" s="4">
        <is>
          <t xml:space="preserve">PW-7</t>
        </is>
      </c>
      <c r="C15" t="inlineStr" s="4">
        <is>
          <t xml:space="preserve">prairie-bid-form.xlsx</t>
        </is>
      </c>
      <c r="D15" t="inlineStr" s="4">
        <is>
          <t xml:space="preserve">sheet Bid Form, row 7</t>
        </is>
      </c>
      <c r="E15" t="inlineStr" s="4">
        <is>
          <t xml:space="preserve">Lifts and scaffolding | 22,400</t>
        </is>
      </c>
    </row>
    <row r="16">
      <c r="A16" t="inlineStr" s="4">
        <is>
          <t xml:space="preserve">Prairie Wall &amp; Ceiling Co.</t>
        </is>
      </c>
      <c r="B16" t="inlineStr" s="4">
        <is>
          <t xml:space="preserve">PW-8</t>
        </is>
      </c>
      <c r="C16" t="inlineStr" s="4">
        <is>
          <t xml:space="preserve">prairie-bid-form.xlsx</t>
        </is>
      </c>
      <c r="D16" t="inlineStr" s="4">
        <is>
          <t xml:space="preserve">sheet Bid Form, row 8</t>
        </is>
      </c>
      <c r="E16" t="inlineStr" s="4">
        <is>
          <t xml:space="preserve">Cleanup | 6,700</t>
        </is>
      </c>
    </row>
    <row r="17">
      <c r="A17" t="inlineStr" s="4">
        <is>
          <t xml:space="preserve">Prairie Wall &amp; Ceiling Co.</t>
        </is>
      </c>
      <c r="B17" t="inlineStr" s="4">
        <is>
          <t xml:space="preserve">PW-9</t>
        </is>
      </c>
      <c r="C17" t="inlineStr" s="4">
        <is>
          <t xml:space="preserve">prairie-bid-form.xlsx</t>
        </is>
      </c>
      <c r="D17" t="inlineStr" s="4">
        <is>
          <t xml:space="preserve">sheet Bid Form, row 9</t>
        </is>
      </c>
      <c r="E17" t="inlineStr" s="4">
        <is>
          <t xml:space="preserve">Exterior sheathing | 41,200</t>
        </is>
      </c>
    </row>
    <row r="18">
      <c r="A18" t="inlineStr" s="4">
        <is>
          <t xml:space="preserve">Prairie Wall &amp; Ceiling Co.</t>
        </is>
      </c>
      <c r="B18" t="inlineStr" s="4">
        <is>
          <t xml:space="preserve">PW-10</t>
        </is>
      </c>
      <c r="C18" t="inlineStr" s="4">
        <is>
          <t xml:space="preserve">prairie-bid-form.xlsx</t>
        </is>
      </c>
      <c r="D18" t="inlineStr" s="4">
        <is>
          <t xml:space="preserve">sheet Bid Form, row 10</t>
        </is>
      </c>
      <c r="E18" t="inlineStr" s="4">
        <is>
          <t xml:space="preserve">Firestopping | 9,800</t>
        </is>
      </c>
    </row>
    <row r="19">
      <c r="A19" t="inlineStr" s="4">
        <is>
          <t xml:space="preserve">Prairie Wall &amp; Ceiling Co.</t>
        </is>
      </c>
      <c r="B19" t="inlineStr" s="4">
        <is>
          <t xml:space="preserve">PW-11</t>
        </is>
      </c>
      <c r="C19" t="inlineStr" s="4">
        <is>
          <t xml:space="preserve">prairie-bid-form.xlsx</t>
        </is>
      </c>
      <c r="D19" t="inlineStr" s="4">
        <is>
          <t xml:space="preserve">sheet Bid Form, row 11</t>
        </is>
      </c>
      <c r="E19" t="inlineStr" s="4">
        <is>
          <t xml:space="preserve">ACT ceilings 09 51 13 | 46,000</t>
        </is>
      </c>
    </row>
    <row r="20">
      <c r="A20" t="inlineStr" s="4">
        <is>
          <t xml:space="preserve">Prairie Wall &amp; Ceiling Co.</t>
        </is>
      </c>
      <c r="B20" t="inlineStr" s="4">
        <is>
          <t xml:space="preserve">PW-12</t>
        </is>
      </c>
      <c r="C20" t="inlineStr" s="4">
        <is>
          <t xml:space="preserve">prairie-bid-form.xlsx</t>
        </is>
      </c>
      <c r="D20" t="inlineStr" s="4">
        <is>
          <t xml:space="preserve">sheet Bid Form, row 12</t>
        </is>
      </c>
      <c r="E20" t="inlineStr" s="4">
        <is>
          <t xml:space="preserve">P&amp;P bond | 12,700</t>
        </is>
      </c>
    </row>
    <row r="21">
      <c r="A21" t="inlineStr" s="4">
        <is>
          <t xml:space="preserve">Prairie Wall &amp; Ceiling Co.</t>
        </is>
      </c>
      <c r="B21" t="inlineStr" s="4">
        <is>
          <t xml:space="preserve">PW-13</t>
        </is>
      </c>
      <c r="C21" t="inlineStr" s="4">
        <is>
          <t xml:space="preserve">prairie-bid-form.xlsx</t>
        </is>
      </c>
      <c r="D21" t="inlineStr" s="4">
        <is>
          <t xml:space="preserve">sheet Bid Form, row 13</t>
        </is>
      </c>
      <c r="E21" t="inlineStr" s="4">
        <is>
          <t xml:space="preserve">TOTAL BASE BID | 871,200</t>
        </is>
      </c>
    </row>
    <row r="22">
      <c r="A22" t="inlineStr" s="4">
        <is>
          <t xml:space="preserve">Prairie Wall &amp; Ceiling Co.</t>
        </is>
      </c>
      <c r="B22" t="inlineStr" s="4">
        <is>
          <t xml:space="preserve">PW-15</t>
        </is>
      </c>
      <c r="C22" t="inlineStr" s="4">
        <is>
          <t xml:space="preserve">prairie-bid-form.xlsx</t>
        </is>
      </c>
      <c r="D22" t="inlineStr" s="4">
        <is>
          <t xml:space="preserve">sheet Bid Form, row 15</t>
        </is>
      </c>
      <c r="E22" t="inlineStr" s="4">
        <is>
          <t xml:space="preserve">Alt 1, Level 5 corridors | ADD 16,750</t>
        </is>
      </c>
    </row>
    <row r="23">
      <c r="A23" t="inlineStr" s="4">
        <is>
          <t xml:space="preserve">Prairie Wall &amp; Ceiling Co.</t>
        </is>
      </c>
      <c r="B23" t="inlineStr" s="4">
        <is>
          <t xml:space="preserve">PW-16</t>
        </is>
      </c>
      <c r="C23" t="inlineStr" s="4">
        <is>
          <t xml:space="preserve">prairie-bid-form.xlsx</t>
        </is>
      </c>
      <c r="D23" t="inlineStr" s="4">
        <is>
          <t xml:space="preserve">sheet Bid Form, row 16</t>
        </is>
      </c>
      <c r="E23" t="inlineStr" s="4">
        <is>
          <t xml:space="preserve">Unit price, added soffit framed and finished | 39.50 / LF</t>
        </is>
      </c>
    </row>
    <row r="24">
      <c r="A24" t="inlineStr" s="4">
        <is>
          <t xml:space="preserve">Summit Interior Systems, LLC</t>
        </is>
      </c>
      <c r="B24" t="inlineStr" s="4">
        <is>
          <t xml:space="preserve">SI-1</t>
        </is>
      </c>
      <c r="C24" t="inlineStr" s="4">
        <is>
          <t xml:space="preserve">summit-quote-email.eml</t>
        </is>
      </c>
      <c r="D24" t="inlineStr" s="4">
        <is>
          <t xml:space="preserve">email body, paragraph 1</t>
        </is>
      </c>
      <c r="E24" t="inlineStr" s="4">
        <is>
          <t xml:space="preserve">We are pleased to quote $798,000 for metal framing, drywall, shaft wall, and exterior DensGlass sheathing per drawings dated 7/15 and Addendum 1.</t>
        </is>
      </c>
    </row>
    <row r="25">
      <c r="A25" t="inlineStr" s="4">
        <is>
          <t xml:space="preserve">Summit Interior Systems, LLC</t>
        </is>
      </c>
      <c r="B25" t="inlineStr" s="4">
        <is>
          <t xml:space="preserve">SI-2</t>
        </is>
      </c>
      <c r="C25" t="inlineStr" s="4">
        <is>
          <t xml:space="preserve">summit-quote-email.eml</t>
        </is>
      </c>
      <c r="D25" t="inlineStr" s="4">
        <is>
          <t xml:space="preserve">email body, paragraph 2</t>
        </is>
      </c>
      <c r="E25" t="inlineStr" s="4">
        <is>
          <t xml:space="preserve">Includes firestopping at our own penetrations, lifts and scaffolding for our work, and daily cleanup to your dumpster.</t>
        </is>
      </c>
    </row>
    <row r="26">
      <c r="A26" t="inlineStr" s="4">
        <is>
          <t xml:space="preserve">Summit Interior Systems, LLC</t>
        </is>
      </c>
      <c r="B26" t="inlineStr" s="4">
        <is>
          <t xml:space="preserve">SI-3</t>
        </is>
      </c>
      <c r="C26" t="inlineStr" s="4">
        <is>
          <t xml:space="preserve">summit-quote-email.eml</t>
        </is>
      </c>
      <c r="D26" t="inlineStr" s="4">
        <is>
          <t xml:space="preserve">email body, paragraph 2</t>
        </is>
      </c>
      <c r="E26" t="inlineStr" s="4">
        <is>
          <t xml:space="preserve">Level 4 finish throughout. Insulation by others.</t>
        </is>
      </c>
    </row>
    <row r="27">
      <c r="A27" t="inlineStr" s="4">
        <is>
          <t xml:space="preserve">Summit Interior Systems, LLC</t>
        </is>
      </c>
      <c r="B27" t="inlineStr" s="4">
        <is>
          <t xml:space="preserve">SI-4</t>
        </is>
      </c>
      <c r="C27" t="inlineStr" s="4">
        <is>
          <t xml:space="preserve">summit-quote-email.eml</t>
        </is>
      </c>
      <c r="D27" t="inlineStr" s="4">
        <is>
          <t xml:space="preserve">email body, paragraph 3</t>
        </is>
      </c>
      <c r="E27" t="inlineStr" s="4">
        <is>
          <t xml:space="preserve">If you furnish scissor lifts for the duration we can deduct $9,500.</t>
        </is>
      </c>
    </row>
    <row r="28">
      <c r="A28" t="inlineStr" s="4">
        <is>
          <t xml:space="preserve">Summit Interior Systems, LLC</t>
        </is>
      </c>
      <c r="B28" t="inlineStr" s="4">
        <is>
          <t xml:space="preserve">SI-5</t>
        </is>
      </c>
      <c r="C28" t="inlineStr" s="4">
        <is>
          <t xml:space="preserve">summit-quote-email.eml</t>
        </is>
      </c>
      <c r="D28" t="inlineStr" s="4">
        <is>
          <t xml:space="preserve">whole email</t>
        </is>
      </c>
      <c r="E28" t="inlineStr" s="4">
        <is>
          <t xml:space="preserve">No mention of in-wall blocking, acoustical ceilings, or Alternate 1; no attachment.</t>
        </is>
      </c>
    </row>
    <row r="29">
      <c r="A29" t="inlineStr" s="4">
        <is>
          <t xml:space="preserve">Summit Interior Systems, LLC</t>
        </is>
      </c>
      <c r="B29" t="inlineStr" s="4">
        <is>
          <t xml:space="preserve">SI-6</t>
        </is>
      </c>
      <c r="C29" t="inlineStr" s="4">
        <is>
          <t xml:space="preserve">summit-quote-email.eml</t>
        </is>
      </c>
      <c r="D29" t="inlineStr" s="4">
        <is>
          <t xml:space="preserve">email body, paragraph 4</t>
        </is>
      </c>
      <c r="E29" t="inlineStr" s="4">
        <is>
          <t xml:space="preserve">Price excludes sales tax. Good for 15 days.</t>
        </is>
      </c>
    </row>
    <row r="30">
      <c r="A30" t="inlineStr" s="4">
        <is>
          <t xml:space="preserve">Ridgeline Interiors</t>
        </is>
      </c>
      <c r="B30" t="inlineStr" s="4">
        <is>
          <t xml:space="preserve">RI-1</t>
        </is>
      </c>
      <c r="C30" t="inlineStr" s="4">
        <is>
          <t xml:space="preserve">ridgeline-email.eml</t>
        </is>
      </c>
      <c r="D30" t="inlineStr" s="4">
        <is>
          <t xml:space="preserve">email body</t>
        </is>
      </c>
      <c r="E30" t="inlineStr" s="4">
        <is>
          <t xml:space="preserve">09A framing &amp; drywall, Cedar Hollow clinic: $781,000. Thx, Dale</t>
        </is>
      </c>
    </row>
    <row r="31">
      <c r="A31" t="inlineStr" s="4">
        <is>
          <t xml:space="preserve">Ridgeline Interiors</t>
        </is>
      </c>
      <c r="B31" t="inlineStr" s="4">
        <is>
          <t xml:space="preserve">RR-1</t>
        </is>
      </c>
      <c r="C31" t="inlineStr" s="4">
        <is>
          <t xml:space="preserve">ridgeline-revised-email.eml</t>
        </is>
      </c>
      <c r="D31" t="inlineStr" s="4">
        <is>
          <t xml:space="preserve">email body</t>
        </is>
      </c>
      <c r="E31" t="inlineStr" s="4">
        <is>
          <t xml:space="preserve">Revised number for 09A framing and drywall per plans and specs thru Addendum 2: $789,500.</t>
        </is>
      </c>
    </row>
    <row r="32">
      <c r="A32" t="inlineStr" s="4">
        <is>
          <t xml:space="preserve">Ridgeline Interiors</t>
        </is>
      </c>
      <c r="B32" t="inlineStr" s="4">
        <is>
          <t xml:space="preserve">RR-2</t>
        </is>
      </c>
      <c r="C32" t="inlineStr" s="4">
        <is>
          <t xml:space="preserve">ridgeline-revised-email.eml</t>
        </is>
      </c>
      <c r="D32" t="inlineStr" s="4">
        <is>
          <t xml:space="preserve">email body</t>
        </is>
      </c>
      <c r="E32" t="inlineStr" s="4">
        <is>
          <t xml:space="preserve">Excludes insulation, firestopping and bond.</t>
        </is>
      </c>
    </row>
    <row r="33">
      <c r="A33" t="inlineStr" s="4">
        <is>
          <t xml:space="preserve">Ridgeline Interiors</t>
        </is>
      </c>
      <c r="B33" t="inlineStr" s="4">
        <is>
          <t xml:space="preserve">RR-3</t>
        </is>
      </c>
      <c r="C33" t="inlineStr" s="4">
        <is>
          <t xml:space="preserve">ridgeline-revised-email.eml</t>
        </is>
      </c>
      <c r="D33" t="inlineStr" s="4">
        <is>
          <t xml:space="preserve">whole email</t>
        </is>
      </c>
      <c r="E33" t="inlineStr" s="4">
        <is>
          <t xml:space="preserve">No mention of blocking, lifts, cleanup, acoustical ceilings, sales tax, or Alternate 1.</t>
        </is>
      </c>
    </row>
  </sheetData>
</worksheet>
</file>